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Risk Report" sheetId="1" r:id="rId1"/>
  </sheets>
  <calcPr calcId="124519" calcMode="manual"/>
</workbook>
</file>

<file path=xl/calcChain.xml><?xml version="1.0" encoding="utf-8"?>
<calcChain xmlns="http://schemas.openxmlformats.org/spreadsheetml/2006/main">
  <c r="L4" i="1"/>
  <c r="M4"/>
  <c r="N4"/>
  <c r="O4"/>
</calcChain>
</file>

<file path=xl/comments1.xml><?xml version="1.0" encoding="utf-8"?>
<comments xmlns="http://schemas.openxmlformats.org/spreadsheetml/2006/main">
  <authors>
    <author>Author</author>
  </authors>
  <commentList>
    <comment ref="B21" authorId="0">
      <text>
        <r>
          <rPr>
            <sz val="18"/>
            <color indexed="81"/>
            <rFont val="Tahoma"/>
            <family val="2"/>
          </rPr>
          <t>The problem with trying to record the processes here is that there are various branches with options, andIt is unknown up front which branch will be selected at the time</t>
        </r>
      </text>
    </comment>
  </commentList>
</comments>
</file>

<file path=xl/sharedStrings.xml><?xml version="1.0" encoding="utf-8"?>
<sst xmlns="http://schemas.openxmlformats.org/spreadsheetml/2006/main" count="151" uniqueCount="61">
  <si>
    <t>Routine Operations</t>
  </si>
  <si>
    <t>Memory management pipeline</t>
  </si>
  <si>
    <t>Once-off operations</t>
  </si>
  <si>
    <t>Stepwise pipeline</t>
  </si>
  <si>
    <t>mb-align-docs</t>
  </si>
  <si>
    <t>mb-docs-manager</t>
  </si>
  <si>
    <t>mb-wikilinks</t>
  </si>
  <si>
    <t>system maintenance</t>
  </si>
  <si>
    <t>mb-compile-rules</t>
  </si>
  <si>
    <t>mb-submit-memory</t>
  </si>
  <si>
    <t>magdoub-wireframe</t>
  </si>
  <si>
    <t>matt-pocock-skills</t>
  </si>
  <si>
    <t>mb-sentinel-review</t>
  </si>
  <si>
    <t>mb-sysdoc-creator</t>
  </si>
  <si>
    <t>memory-governor</t>
  </si>
  <si>
    <t>gstack skills</t>
  </si>
  <si>
    <t>gbrain-sync</t>
  </si>
  <si>
    <t>Rate</t>
  </si>
  <si>
    <t>Estimated cost</t>
  </si>
  <si>
    <t>Estimated cost per run</t>
  </si>
  <si>
    <t>Review Period</t>
  </si>
  <si>
    <t>from date</t>
  </si>
  <si>
    <t xml:space="preserve"> to date</t>
  </si>
  <si>
    <t>Estimated runs</t>
  </si>
  <si>
    <t>Estimated token usage per run</t>
  </si>
  <si>
    <t>Basis</t>
  </si>
  <si>
    <t>Actual runs</t>
  </si>
  <si>
    <t>Gbrain-dream-cycle</t>
  </si>
  <si>
    <t>Based on observability</t>
  </si>
  <si>
    <t>Based on estimation</t>
  </si>
  <si>
    <t xml:space="preserve">Review </t>
  </si>
  <si>
    <t>Assessed cost per actual runs</t>
  </si>
  <si>
    <t>Step</t>
  </si>
  <si>
    <t>Process</t>
  </si>
  <si>
    <t>Skill set</t>
  </si>
  <si>
    <t>anvil-agent-references</t>
  </si>
  <si>
    <t xml:space="preserve">Docs management pipeline </t>
  </si>
  <si>
    <t>(Items may need to be re-ordered)</t>
  </si>
  <si>
    <t>Opencode Build Agent (Reasoner)</t>
  </si>
  <si>
    <t>Opencode Build Agent (Coder)</t>
  </si>
  <si>
    <t>Opencode Plan Agent (Reasoner)</t>
  </si>
  <si>
    <t>GLM 5.3 Flash</t>
  </si>
  <si>
    <t>Qwen3.8 Flash</t>
  </si>
  <si>
    <t>Model</t>
  </si>
  <si>
    <t>Rerank</t>
  </si>
  <si>
    <t>Embed</t>
  </si>
  <si>
    <t>OpenAI</t>
  </si>
  <si>
    <t>Voyage 2.5</t>
  </si>
  <si>
    <t>Skill used</t>
  </si>
  <si>
    <t>gbrain-dream-cycle</t>
  </si>
  <si>
    <t>List processes</t>
  </si>
  <si>
    <t>etc</t>
  </si>
  <si>
    <t>Sample data- not part of the doc</t>
  </si>
  <si>
    <t>Foundation Data</t>
  </si>
  <si>
    <t>$0.075 in / $0.25–0.50 out per M</t>
  </si>
  <si>
    <t>$0.05/M tokens</t>
  </si>
  <si>
    <t>$0.13/M tokens (verify)</t>
  </si>
  <si>
    <t>$0.15 in / $0.47 out per M</t>
  </si>
  <si>
    <t>TBD</t>
  </si>
  <si>
    <t>N/A</t>
  </si>
  <si>
    <t>Gtaphify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</si>
</sst>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DashDotDot">
        <color auto="1"/>
      </left>
      <right/>
      <top/>
      <bottom/>
      <diagonal/>
    </border>
    <border>
      <left style="mediumDashDotDot">
        <color auto="1"/>
      </left>
      <right/>
      <top/>
      <bottom style="thin">
        <color indexed="64"/>
      </bottom>
      <diagonal/>
    </border>
    <border>
      <left style="mediumDashDotDot">
        <color auto="1"/>
      </left>
      <right/>
      <top style="thin">
        <color indexed="64"/>
      </top>
      <bottom style="double">
        <color indexed="64"/>
      </bottom>
      <diagonal/>
    </border>
    <border>
      <left/>
      <right style="mediumDashDotDot">
        <color auto="1"/>
      </right>
      <top/>
      <bottom/>
      <diagonal/>
    </border>
    <border>
      <left/>
      <right style="thick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0" fillId="0" borderId="6" xfId="0" applyBorder="1"/>
    <xf numFmtId="0" fontId="1" fillId="0" borderId="6" xfId="0" applyFont="1" applyBorder="1"/>
    <xf numFmtId="0" fontId="0" fillId="0" borderId="0" xfId="0" applyBorder="1"/>
    <xf numFmtId="0" fontId="1" fillId="0" borderId="0" xfId="0" applyFont="1" applyBorder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16" fontId="0" fillId="0" borderId="1" xfId="0" applyNumberFormat="1" applyBorder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topLeftCell="A25" zoomScale="70" zoomScaleNormal="70" workbookViewId="0">
      <selection activeCell="H33" sqref="H33"/>
    </sheetView>
  </sheetViews>
  <sheetFormatPr defaultRowHeight="15"/>
  <cols>
    <col min="1" max="2" width="4.42578125" customWidth="1"/>
    <col min="3" max="3" width="22.85546875" customWidth="1"/>
    <col min="4" max="4" width="23.85546875" bestFit="1" customWidth="1"/>
    <col min="5" max="5" width="35" style="2" bestFit="1" customWidth="1"/>
    <col min="6" max="6" width="15.85546875" style="3" customWidth="1"/>
    <col min="7" max="9" width="15.85546875" customWidth="1"/>
    <col min="10" max="10" width="15.85546875" style="3" customWidth="1"/>
    <col min="11" max="11" width="15.85546875" customWidth="1"/>
    <col min="12" max="12" width="15.85546875" style="16" customWidth="1"/>
    <col min="13" max="13" width="15.85546875" customWidth="1"/>
    <col min="14" max="14" width="15.85546875" style="16" customWidth="1"/>
    <col min="15" max="15" width="15.85546875" style="18" customWidth="1"/>
    <col min="16" max="16" width="9.140625" style="3"/>
  </cols>
  <sheetData>
    <row r="1" spans="1:16" s="24" customFormat="1" ht="21">
      <c r="A1" s="34" t="s">
        <v>53</v>
      </c>
      <c r="B1" s="34"/>
      <c r="C1" s="34"/>
      <c r="D1" s="34"/>
      <c r="E1" s="29"/>
      <c r="F1" s="27" t="s">
        <v>25</v>
      </c>
      <c r="G1" s="28"/>
      <c r="H1" s="28"/>
      <c r="I1" s="29"/>
      <c r="J1" s="27" t="s">
        <v>30</v>
      </c>
      <c r="K1" s="28"/>
      <c r="L1" s="28"/>
      <c r="M1" s="28"/>
      <c r="N1" s="28"/>
      <c r="O1" s="28"/>
      <c r="P1" s="23"/>
    </row>
    <row r="2" spans="1:16" s="5" customFormat="1">
      <c r="F2" s="12"/>
      <c r="G2" s="13"/>
      <c r="H2" s="13"/>
      <c r="I2" s="13"/>
      <c r="J2" s="33" t="s">
        <v>20</v>
      </c>
      <c r="K2" s="32"/>
      <c r="L2" s="30" t="s">
        <v>29</v>
      </c>
      <c r="M2" s="32"/>
      <c r="N2" s="30" t="s">
        <v>28</v>
      </c>
      <c r="O2" s="31"/>
      <c r="P2" s="12"/>
    </row>
    <row r="3" spans="1:16" s="6" customFormat="1" ht="30">
      <c r="A3" s="8"/>
      <c r="B3" s="8"/>
      <c r="C3" s="8"/>
      <c r="D3" s="25" t="s">
        <v>37</v>
      </c>
      <c r="E3" s="26"/>
      <c r="F3" s="9" t="s">
        <v>43</v>
      </c>
      <c r="G3" s="8" t="s">
        <v>17</v>
      </c>
      <c r="H3" s="8" t="s">
        <v>24</v>
      </c>
      <c r="I3" s="8" t="s">
        <v>19</v>
      </c>
      <c r="J3" s="9" t="s">
        <v>21</v>
      </c>
      <c r="K3" s="8" t="s">
        <v>22</v>
      </c>
      <c r="L3" s="14" t="s">
        <v>23</v>
      </c>
      <c r="M3" s="8" t="s">
        <v>18</v>
      </c>
      <c r="N3" s="14" t="s">
        <v>26</v>
      </c>
      <c r="O3" s="8" t="s">
        <v>31</v>
      </c>
      <c r="P3" s="7"/>
    </row>
    <row r="4" spans="1:16" s="6" customFormat="1" ht="15.75" thickBot="1">
      <c r="A4" s="10"/>
      <c r="B4" s="10"/>
      <c r="C4" s="10"/>
      <c r="D4" s="10"/>
      <c r="E4" s="10"/>
      <c r="F4" s="7"/>
      <c r="G4" s="10"/>
      <c r="H4" s="10"/>
      <c r="I4" s="10"/>
      <c r="J4" s="7"/>
      <c r="K4" s="10"/>
      <c r="L4" s="15">
        <f t="shared" ref="L4:N4" si="0">SUM(L5:L1001)</f>
        <v>0</v>
      </c>
      <c r="M4" s="11">
        <f t="shared" si="0"/>
        <v>0</v>
      </c>
      <c r="N4" s="15">
        <f t="shared" si="0"/>
        <v>0</v>
      </c>
      <c r="O4" s="11">
        <f>SUM(O5:O1001)</f>
        <v>0</v>
      </c>
      <c r="P4" s="7"/>
    </row>
    <row r="5" spans="1:16" ht="15.75" thickTop="1">
      <c r="A5" s="1" t="s">
        <v>0</v>
      </c>
    </row>
    <row r="6" spans="1:16">
      <c r="B6" s="1" t="s">
        <v>36</v>
      </c>
      <c r="C6" s="1"/>
      <c r="D6" s="1"/>
    </row>
    <row r="7" spans="1:16">
      <c r="D7" s="2" t="s">
        <v>4</v>
      </c>
      <c r="F7" s="3" t="s">
        <v>41</v>
      </c>
      <c r="G7" t="s">
        <v>54</v>
      </c>
      <c r="H7" t="s">
        <v>58</v>
      </c>
      <c r="I7" t="s">
        <v>58</v>
      </c>
      <c r="J7" s="35">
        <v>46273</v>
      </c>
      <c r="K7" s="36">
        <v>46295</v>
      </c>
    </row>
    <row r="8" spans="1:16">
      <c r="D8" s="2" t="s">
        <v>5</v>
      </c>
      <c r="F8" s="3" t="s">
        <v>41</v>
      </c>
      <c r="G8" t="s">
        <v>54</v>
      </c>
      <c r="H8" t="s">
        <v>58</v>
      </c>
      <c r="I8" t="s">
        <v>58</v>
      </c>
      <c r="J8" s="35">
        <v>46273</v>
      </c>
      <c r="K8" s="36">
        <v>46295</v>
      </c>
    </row>
    <row r="9" spans="1:16">
      <c r="D9" s="2" t="s">
        <v>6</v>
      </c>
      <c r="F9" s="3" t="s">
        <v>41</v>
      </c>
      <c r="G9" t="s">
        <v>54</v>
      </c>
      <c r="H9" t="s">
        <v>58</v>
      </c>
      <c r="I9" t="s">
        <v>58</v>
      </c>
      <c r="J9" s="35">
        <v>46273</v>
      </c>
      <c r="K9" s="36">
        <v>46295</v>
      </c>
    </row>
    <row r="10" spans="1:16">
      <c r="B10" s="1" t="s">
        <v>1</v>
      </c>
      <c r="C10" s="1"/>
      <c r="D10" s="2"/>
    </row>
    <row r="11" spans="1:16">
      <c r="D11" t="s">
        <v>9</v>
      </c>
      <c r="F11" s="3" t="s">
        <v>41</v>
      </c>
      <c r="G11" t="s">
        <v>54</v>
      </c>
      <c r="H11" t="s">
        <v>58</v>
      </c>
      <c r="I11" t="s">
        <v>58</v>
      </c>
      <c r="J11" s="35">
        <v>46273</v>
      </c>
      <c r="K11" s="36">
        <v>46295</v>
      </c>
    </row>
    <row r="12" spans="1:16">
      <c r="D12" t="s">
        <v>14</v>
      </c>
      <c r="F12" s="3" t="s">
        <v>41</v>
      </c>
      <c r="G12" t="s">
        <v>54</v>
      </c>
      <c r="H12" t="s">
        <v>58</v>
      </c>
      <c r="I12" t="s">
        <v>58</v>
      </c>
      <c r="J12" s="35">
        <v>46273</v>
      </c>
      <c r="K12" s="36">
        <v>46295</v>
      </c>
    </row>
    <row r="13" spans="1:16">
      <c r="D13" t="s">
        <v>27</v>
      </c>
      <c r="F13" s="3" t="s">
        <v>41</v>
      </c>
      <c r="G13" t="s">
        <v>54</v>
      </c>
      <c r="H13" t="s">
        <v>58</v>
      </c>
      <c r="I13" t="s">
        <v>58</v>
      </c>
      <c r="J13" s="35">
        <v>46273</v>
      </c>
      <c r="K13" s="36">
        <v>46295</v>
      </c>
    </row>
    <row r="14" spans="1:16">
      <c r="D14" t="s">
        <v>44</v>
      </c>
      <c r="F14" s="3" t="s">
        <v>47</v>
      </c>
      <c r="G14" t="s">
        <v>55</v>
      </c>
      <c r="H14" t="s">
        <v>58</v>
      </c>
      <c r="I14" t="s">
        <v>58</v>
      </c>
      <c r="J14" s="35">
        <v>46273</v>
      </c>
      <c r="K14" s="36">
        <v>46295</v>
      </c>
    </row>
    <row r="15" spans="1:16">
      <c r="D15" t="s">
        <v>45</v>
      </c>
      <c r="F15" s="3" t="s">
        <v>46</v>
      </c>
      <c r="G15" t="s">
        <v>56</v>
      </c>
      <c r="H15" t="s">
        <v>58</v>
      </c>
      <c r="I15" t="s">
        <v>58</v>
      </c>
      <c r="J15" s="35">
        <v>46273</v>
      </c>
      <c r="K15" s="36">
        <v>46295</v>
      </c>
    </row>
    <row r="16" spans="1:16">
      <c r="D16" t="s">
        <v>60</v>
      </c>
      <c r="F16" s="3" t="s">
        <v>41</v>
      </c>
      <c r="G16" t="s">
        <v>54</v>
      </c>
      <c r="H16" t="s">
        <v>58</v>
      </c>
      <c r="I16" t="s">
        <v>58</v>
      </c>
      <c r="J16" s="35">
        <v>46273</v>
      </c>
      <c r="K16" s="36">
        <v>46295</v>
      </c>
    </row>
    <row r="17" spans="1:16" s="1" customFormat="1">
      <c r="A17" s="1" t="s">
        <v>2</v>
      </c>
      <c r="D17" s="2"/>
      <c r="F17" s="4"/>
      <c r="J17" s="4"/>
      <c r="L17" s="17"/>
      <c r="N17" s="17"/>
      <c r="O17" s="19"/>
      <c r="P17" s="4"/>
    </row>
    <row r="18" spans="1:16" s="1" customFormat="1">
      <c r="B18" s="1" t="s">
        <v>7</v>
      </c>
      <c r="D18" s="2"/>
      <c r="F18" s="4"/>
      <c r="J18" s="4"/>
      <c r="L18" s="17"/>
      <c r="N18" s="17"/>
      <c r="O18" s="19"/>
      <c r="P18" s="4"/>
    </row>
    <row r="19" spans="1:16" s="1" customFormat="1">
      <c r="D19" s="2" t="s">
        <v>8</v>
      </c>
      <c r="F19" s="3" t="s">
        <v>41</v>
      </c>
      <c r="G19" t="s">
        <v>54</v>
      </c>
      <c r="H19" t="s">
        <v>58</v>
      </c>
      <c r="I19" t="s">
        <v>58</v>
      </c>
      <c r="J19" s="35">
        <v>46273</v>
      </c>
      <c r="K19" s="36">
        <v>46295</v>
      </c>
      <c r="L19" s="17"/>
      <c r="N19" s="17"/>
      <c r="O19" s="19"/>
      <c r="P19" s="4"/>
    </row>
    <row r="20" spans="1:16" s="1" customFormat="1">
      <c r="D20" t="s">
        <v>13</v>
      </c>
      <c r="F20" s="3" t="s">
        <v>41</v>
      </c>
      <c r="G20" t="s">
        <v>54</v>
      </c>
      <c r="H20" t="s">
        <v>58</v>
      </c>
      <c r="I20" t="s">
        <v>58</v>
      </c>
      <c r="J20" s="35">
        <v>46273</v>
      </c>
      <c r="K20" s="36">
        <v>46295</v>
      </c>
      <c r="L20" s="17"/>
      <c r="N20" s="17"/>
      <c r="O20" s="19"/>
      <c r="P20" s="4"/>
    </row>
    <row r="21" spans="1:16">
      <c r="B21" s="1" t="s">
        <v>3</v>
      </c>
      <c r="C21" s="1"/>
      <c r="D21" s="1"/>
    </row>
    <row r="22" spans="1:16">
      <c r="B22" s="20" t="s">
        <v>32</v>
      </c>
      <c r="C22" s="20" t="s">
        <v>33</v>
      </c>
      <c r="D22" s="20" t="s">
        <v>34</v>
      </c>
      <c r="E22" s="20" t="s">
        <v>48</v>
      </c>
    </row>
    <row r="23" spans="1:16">
      <c r="A23" t="s">
        <v>52</v>
      </c>
      <c r="E23"/>
    </row>
    <row r="24" spans="1:16">
      <c r="D24" t="s">
        <v>11</v>
      </c>
      <c r="E24"/>
      <c r="F24" s="3" t="s">
        <v>41</v>
      </c>
      <c r="G24" t="s">
        <v>54</v>
      </c>
      <c r="H24" t="s">
        <v>59</v>
      </c>
      <c r="I24" t="s">
        <v>59</v>
      </c>
    </row>
    <row r="25" spans="1:16">
      <c r="D25" t="s">
        <v>15</v>
      </c>
      <c r="F25" s="3" t="s">
        <v>41</v>
      </c>
      <c r="G25" t="s">
        <v>54</v>
      </c>
      <c r="H25" t="s">
        <v>59</v>
      </c>
      <c r="I25" t="s">
        <v>59</v>
      </c>
    </row>
    <row r="26" spans="1:16">
      <c r="D26" s="21" t="s">
        <v>35</v>
      </c>
      <c r="E26" s="22"/>
      <c r="F26" s="3" t="s">
        <v>42</v>
      </c>
      <c r="G26" t="s">
        <v>57</v>
      </c>
      <c r="H26" t="s">
        <v>59</v>
      </c>
      <c r="I26" t="s">
        <v>59</v>
      </c>
    </row>
    <row r="27" spans="1:16">
      <c r="E27" t="s">
        <v>9</v>
      </c>
      <c r="F27" s="3" t="s">
        <v>41</v>
      </c>
      <c r="G27" t="s">
        <v>54</v>
      </c>
      <c r="H27" t="s">
        <v>59</v>
      </c>
      <c r="I27" t="s">
        <v>59</v>
      </c>
    </row>
    <row r="28" spans="1:16">
      <c r="E28" t="s">
        <v>12</v>
      </c>
      <c r="F28" s="3" t="s">
        <v>41</v>
      </c>
      <c r="G28" t="s">
        <v>54</v>
      </c>
      <c r="H28" t="s">
        <v>59</v>
      </c>
      <c r="I28" t="s">
        <v>59</v>
      </c>
    </row>
    <row r="29" spans="1:16">
      <c r="E29" t="s">
        <v>10</v>
      </c>
      <c r="F29" s="3" t="s">
        <v>41</v>
      </c>
      <c r="G29" t="s">
        <v>54</v>
      </c>
      <c r="H29" t="s">
        <v>59</v>
      </c>
      <c r="I29" t="s">
        <v>59</v>
      </c>
    </row>
    <row r="30" spans="1:16">
      <c r="E30" t="s">
        <v>16</v>
      </c>
      <c r="F30" s="3" t="s">
        <v>41</v>
      </c>
      <c r="G30" t="s">
        <v>54</v>
      </c>
      <c r="H30" t="s">
        <v>59</v>
      </c>
      <c r="I30" t="s">
        <v>59</v>
      </c>
    </row>
    <row r="31" spans="1:16">
      <c r="E31" t="s">
        <v>49</v>
      </c>
      <c r="F31" s="3" t="s">
        <v>41</v>
      </c>
      <c r="G31" t="s">
        <v>54</v>
      </c>
      <c r="H31" t="s">
        <v>59</v>
      </c>
      <c r="I31" t="s">
        <v>59</v>
      </c>
    </row>
    <row r="32" spans="1:16">
      <c r="E32" t="s">
        <v>40</v>
      </c>
      <c r="F32" s="3" t="s">
        <v>41</v>
      </c>
      <c r="G32" t="s">
        <v>54</v>
      </c>
      <c r="H32" t="s">
        <v>59</v>
      </c>
      <c r="I32" t="s">
        <v>59</v>
      </c>
    </row>
    <row r="33" spans="2:9">
      <c r="E33" t="s">
        <v>38</v>
      </c>
      <c r="F33" s="3" t="s">
        <v>41</v>
      </c>
      <c r="G33" t="s">
        <v>54</v>
      </c>
      <c r="H33" t="s">
        <v>59</v>
      </c>
      <c r="I33" t="s">
        <v>59</v>
      </c>
    </row>
    <row r="34" spans="2:9">
      <c r="E34" t="s">
        <v>39</v>
      </c>
      <c r="F34" s="3" t="s">
        <v>42</v>
      </c>
      <c r="G34" t="s">
        <v>57</v>
      </c>
      <c r="H34" t="s">
        <v>59</v>
      </c>
      <c r="I34" t="s">
        <v>59</v>
      </c>
    </row>
    <row r="35" spans="2:9">
      <c r="B35">
        <v>11</v>
      </c>
      <c r="C35" t="s">
        <v>50</v>
      </c>
    </row>
    <row r="36" spans="2:9">
      <c r="B36">
        <v>11</v>
      </c>
      <c r="C36" t="s">
        <v>50</v>
      </c>
    </row>
    <row r="37" spans="2:9">
      <c r="B37">
        <v>11</v>
      </c>
      <c r="C37" t="s">
        <v>50</v>
      </c>
    </row>
    <row r="38" spans="2:9">
      <c r="B38">
        <v>11</v>
      </c>
      <c r="C38" t="s">
        <v>51</v>
      </c>
    </row>
    <row r="39" spans="2:9">
      <c r="B39">
        <v>12</v>
      </c>
      <c r="C39" t="s">
        <v>50</v>
      </c>
    </row>
    <row r="40" spans="2:9">
      <c r="B40">
        <v>12</v>
      </c>
      <c r="C40" t="s">
        <v>50</v>
      </c>
    </row>
    <row r="41" spans="2:9">
      <c r="B41">
        <v>12</v>
      </c>
      <c r="C41" t="s">
        <v>50</v>
      </c>
    </row>
    <row r="42" spans="2:9">
      <c r="B42">
        <v>12</v>
      </c>
      <c r="C42" t="s">
        <v>51</v>
      </c>
    </row>
    <row r="43" spans="2:9">
      <c r="B43">
        <v>14</v>
      </c>
      <c r="C43" t="s">
        <v>50</v>
      </c>
    </row>
    <row r="44" spans="2:9">
      <c r="B44">
        <v>14</v>
      </c>
      <c r="C44" t="s">
        <v>50</v>
      </c>
    </row>
    <row r="45" spans="2:9">
      <c r="B45">
        <v>14</v>
      </c>
      <c r="C45" t="s">
        <v>50</v>
      </c>
    </row>
    <row r="46" spans="2:9">
      <c r="B46">
        <v>14</v>
      </c>
      <c r="C46" t="s">
        <v>51</v>
      </c>
    </row>
    <row r="47" spans="2:9">
      <c r="B47" t="s">
        <v>51</v>
      </c>
    </row>
  </sheetData>
  <mergeCells count="7">
    <mergeCell ref="D3:E3"/>
    <mergeCell ref="F1:I1"/>
    <mergeCell ref="J1:O1"/>
    <mergeCell ref="N2:O2"/>
    <mergeCell ref="L2:M2"/>
    <mergeCell ref="J2:K2"/>
    <mergeCell ref="A1:E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2026-09-08T08:48:40Z</dcterms:modified>
</cp:coreProperties>
</file>